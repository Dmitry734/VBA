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ЭтаКнига" defaultThemeVersion="124226"/>
  <bookViews>
    <workbookView xWindow="120" yWindow="150" windowWidth="23250" windowHeight="13110" firstSheet="1" activeTab="3"/>
  </bookViews>
  <sheets>
    <sheet name="Шабон Формульный" sheetId="42" state="hidden" r:id="rId1"/>
    <sheet name="Результат" sheetId="39" r:id="rId2"/>
    <sheet name="Список_файлов_данных" sheetId="50" r:id="rId3"/>
    <sheet name="Управление" sheetId="2" r:id="rId4"/>
  </sheets>
  <functionGroups builtInGroupCount="17"/>
  <definedNames>
    <definedName name="СводныйРеестр" localSheetId="0">#REF!</definedName>
    <definedName name="СводныйРеестр">#REF!</definedName>
    <definedName name="Список_файлов">FILES(Управление!$B$1)</definedName>
  </definedNames>
  <calcPr calcId="145621"/>
</workbook>
</file>

<file path=xl/calcChain.xml><?xml version="1.0" encoding="utf-8"?>
<calcChain xmlns="http://schemas.openxmlformats.org/spreadsheetml/2006/main">
  <c r="D2" i="42" l="1"/>
  <c r="A2" i="42" l="1"/>
  <c r="B2" i="42" l="1"/>
  <c r="E2" i="42" l="1"/>
  <c r="F2" i="42" l="1"/>
  <c r="C2" i="42"/>
  <c r="H2" i="42"/>
  <c r="G2" i="42" l="1"/>
</calcChain>
</file>

<file path=xl/comments1.xml><?xml version="1.0" encoding="utf-8"?>
<comments xmlns="http://schemas.openxmlformats.org/spreadsheetml/2006/main">
  <authors>
    <author>Абызов Дмитрий Генадьевич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Наименования листа куда будут записаны наименования файлов данных</t>
        </r>
      </text>
    </comment>
  </commentList>
</comments>
</file>

<file path=xl/sharedStrings.xml><?xml version="1.0" encoding="utf-8"?>
<sst xmlns="http://schemas.openxmlformats.org/spreadsheetml/2006/main" count="94" uniqueCount="56">
  <si>
    <t>Имя файла</t>
  </si>
  <si>
    <t>Путь</t>
  </si>
  <si>
    <t>Размер</t>
  </si>
  <si>
    <t>Дата создания</t>
  </si>
  <si>
    <t>Дата изменения</t>
  </si>
  <si>
    <t>Наименование листов данных</t>
  </si>
  <si>
    <t>Тип Документа</t>
  </si>
  <si>
    <t>Сводный сметный расчет сметной стоимостью   881190,3 руб.</t>
  </si>
  <si>
    <t xml:space="preserve">Строительство ВЛИ-0,4 кВ от ТП 1-162 фидер "Л-1" по ул. Таманская, с. Возрождение, г. Геленджик </t>
  </si>
  <si>
    <t>004914</t>
  </si>
  <si>
    <t>Примечание</t>
  </si>
  <si>
    <t>прочие затраты</t>
  </si>
  <si>
    <t>оборудование</t>
  </si>
  <si>
    <t>строительные работы, реконструкция, монтаж оборудования</t>
  </si>
  <si>
    <t>проектно-изыскательские работы</t>
  </si>
  <si>
    <t>Всего, в т.ч.:</t>
  </si>
  <si>
    <t>Наименование объекта из сметы</t>
  </si>
  <si>
    <t>Критерий поиска (№ ТЗ / Идентификатор)</t>
  </si>
  <si>
    <t>Список_файлов_данных</t>
  </si>
  <si>
    <t>C:\Разработка\Excel\Задача Саши\2\Выгрузка из смет\Сметные расчеты\004914.xlsx</t>
  </si>
  <si>
    <t>C:\Разработка\Excel\Задача Саши\2\Выгрузка из смет\Сметные расчеты\007652.xlsx</t>
  </si>
  <si>
    <t>Непредвиденные затраты</t>
  </si>
  <si>
    <t>Дополнительные работы и затраты</t>
  </si>
  <si>
    <t>Налоги и обязательные платежи</t>
  </si>
  <si>
    <t>(наименование стройки)</t>
  </si>
  <si>
    <t>Относительное смещение от колонки якорной ячейки (число) доя ячейки со значением, в которой содержаться коэффициенты (%) или значимые значения.</t>
  </si>
  <si>
    <t>(ссылка на документ об утверждении)</t>
  </si>
  <si>
    <t>Итого по Главе 12</t>
  </si>
  <si>
    <t>Всего по сводному расчету</t>
  </si>
  <si>
    <t>Значения в якорных ячейках (блоки) - названия блоков</t>
  </si>
  <si>
    <t>Полученные значения</t>
  </si>
  <si>
    <t>Таблица настроек поиска</t>
  </si>
  <si>
    <t>Наименование блока результата</t>
  </si>
  <si>
    <t>Примечания (управление поиском)</t>
  </si>
  <si>
    <t>Точное указание</t>
  </si>
  <si>
    <t>Самостоятельное определение границ поиска</t>
  </si>
  <si>
    <t>Относительное смещение от строки якорной ячейки (число) до ячейки со значением. Возможные значения: либо числовые, либо "до конца блока; поиск: %" - означает какие ячейки воспринимаем (с символом "%"). Символ восприятия может меняться.</t>
  </si>
  <si>
    <t>до конца блока; поиск: %</t>
  </si>
  <si>
    <t>Лист: Файлы Данных</t>
  </si>
  <si>
    <t>Лист: Результат</t>
  </si>
  <si>
    <t>Результат</t>
  </si>
  <si>
    <t>Сводный сметный расчет сметной стоимостью   86916794,59 руб.</t>
  </si>
  <si>
    <t>Строительство 2КЛ-10 кВ от РУ-10 кВ ПС 110/10 кВ «Десантник» до РУ 10 кВ БКТП-492, протяженность 7,4 км г.Анапа</t>
  </si>
  <si>
    <t>Дополнительные затраты в текущих ценах</t>
  </si>
  <si>
    <t>C:\Разработка\Excel\Задача Саши\2\Выгрузка из смет\Сметные расчеты\1111.xlsx</t>
  </si>
  <si>
    <t>C:\Разработка\Excel\Задача Саши\2\Выгрузка из смет\Сметные расчеты\ССРСС по Методике 2020.xlsx</t>
  </si>
  <si>
    <t>ССРСС по Методике 2020</t>
  </si>
  <si>
    <t>Сводный сметный расчет сметной стоимостью   4923721,28 руб.</t>
  </si>
  <si>
    <t>«Строителстьво КТПП-630/10/0,4 кВ, ВЛ-10 кВ участка фидера П-5 от опоры № 41 и ВЛ-0,4 кВ ул. Победы-Циолковского г. Приморско-Ахтарск»</t>
  </si>
  <si>
    <t>007652</t>
  </si>
  <si>
    <t>001111</t>
  </si>
  <si>
    <t>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 Не найдено значение: Дополнительные затраты в текущих ценахиз таблицы управление- нет такого в файле: 004914.xlsx;</t>
  </si>
  <si>
    <t>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 Не найдено значение: Дополнительные затраты в текущих ценахиз таблицы управление- нет такого в файле: 007652.xlsx;</t>
  </si>
  <si>
    <t>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 Не найдено значение: Дополнительные работы и затратыиз таблицы управление- нет такого в файле: 1111.xlsx;</t>
  </si>
  <si>
    <t>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 Не найдено значение: Дополнительные работы и затратыиз таблицы управление- нет такого в файле: ССРСС по Методике 2020.xlsx;</t>
  </si>
  <si>
    <t>Инструкция: Алгоритм выполняется в 2 этапа. 1-й Этап (кнопка) позволяет выбрать папку и все пути файлов из этой папки будут записаны на лист "Список_файлов_данных" (наименования определяется в ячейке (2,2)) . 2-й Этап это обработка файлов на листе "Список_файлов_данных" для создания листа "Результат" (наименования определяется в ячейке (3,2).  Лист "Управление" позволяет управлять всем макросом 2-го этапа. Граниицы таблицы настроек определяются двумя "якорными" словосочетаниями (Таблица настроек поиска -ячейка границы таб.).1)в колонке таб. настроек "Значения в якорных ячейках (блоки) - названия блоков" указаны те блоки (их названия будут использоваться как "якорь"), которые подлежат поиску в спике файлов (получ. на этапе 1) количество строк в таб. настроек можно менять (добавлять/удалять) - главное не удалять ячейки границ таблицы.  После колонки якорных значений следуют колонки относительных смещений строк и столбцов относительно "якорного" значения. Т.е. алгоритм найдет якорное значение в каждом  файле из выбранной папки и затем согласно указаниям смещения найдет необходимую ячейку, значение которой он и перенесет в таблицу настроек, в колонку "Полученные значения" (затираются при проходе следующего файла). Затем, из значений в колонке "Полученные значения"  макрос включит перерасчет формул на скрытом листе "Шабон Формульный" и получив расчет скопирует расчеты на лист "Результат" (по формату лист "Результат"  = лист "Шабон Формульный") и так для каждого файла (создаются новые строки на листе "Результат"). В ячейках смещений таб. настроек можно указывать как абсолютное смешение (цифры) , так и инструкцию смещения вида: "до конца блока; поиск: xxx", где xxx - это строка символов которая является вторичным "якорем", искомым в блоке первичного "якоря" (границы блока первиного якоря определяются как; первая строка блока - адрес первичного якоря, последняя строка блока - это пустое значение в той же колонке что и первичный якорь), причем поскольку абсолютного смещения для строк на вторичный "якорь" не указывается, это означает, что значение (числовое) берем в ячейке вторичного якоря. Гибкость алгоритму помимо настроечной таблицы придает возможность менять формулы на листе "Шабон Формульный"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</si>
</sst>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\ _₽_-;\-* #,##0.00\ _₽_-;_-* &quot;-&quot;??\ _₽_-;_-@_-"/>
    <numFmt numFmtId="164" formatCode="000000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b/>
      <sz val="12"/>
      <color theme="4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8"/>
      <color rgb="FF0070C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AFAB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8">
    <xf numFmtId="0" fontId="0" fillId="0" borderId="0" xfId="0"/>
    <xf numFmtId="0" fontId="2" fillId="0" borderId="0" xfId="0" applyFont="1"/>
    <xf numFmtId="22" fontId="0" fillId="0" borderId="0" xfId="0" applyNumberFormat="1"/>
    <xf numFmtId="0" fontId="3" fillId="3" borderId="3" xfId="0" applyFont="1" applyFill="1" applyBorder="1" applyAlignment="1">
      <alignment wrapText="1"/>
    </xf>
    <xf numFmtId="0" fontId="3" fillId="4" borderId="3" xfId="0" applyFont="1" applyFill="1" applyBorder="1" applyAlignment="1">
      <alignment wrapText="1"/>
    </xf>
    <xf numFmtId="0" fontId="3" fillId="4" borderId="1" xfId="0" applyFont="1" applyFill="1" applyBorder="1" applyAlignment="1">
      <alignment wrapText="1"/>
    </xf>
    <xf numFmtId="164" fontId="0" fillId="0" borderId="0" xfId="1" applyNumberFormat="1" applyFont="1"/>
    <xf numFmtId="0" fontId="0" fillId="0" borderId="0" xfId="0" applyAlignment="1">
      <alignment vertical="center" wrapText="1"/>
    </xf>
    <xf numFmtId="0" fontId="0" fillId="0" borderId="4" xfId="0" applyBorder="1" applyAlignment="1">
      <alignment vertical="center" wrapText="1"/>
    </xf>
    <xf numFmtId="49" fontId="0" fillId="0" borderId="4" xfId="0" applyNumberFormat="1" applyBorder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5" borderId="2" xfId="0" applyFill="1" applyBorder="1" applyAlignment="1">
      <alignment wrapText="1"/>
    </xf>
    <xf numFmtId="1" fontId="6" fillId="2" borderId="6" xfId="0" applyNumberFormat="1" applyFont="1" applyFill="1" applyBorder="1" applyAlignment="1">
      <alignment wrapText="1"/>
    </xf>
    <xf numFmtId="1" fontId="6" fillId="2" borderId="8" xfId="0" applyNumberFormat="1" applyFont="1" applyFill="1" applyBorder="1" applyAlignment="1">
      <alignment wrapText="1"/>
    </xf>
    <xf numFmtId="1" fontId="6" fillId="2" borderId="9" xfId="0" applyNumberFormat="1" applyFont="1" applyFill="1" applyBorder="1" applyAlignment="1">
      <alignment wrapText="1"/>
    </xf>
    <xf numFmtId="1" fontId="6" fillId="2" borderId="10" xfId="0" applyNumberFormat="1" applyFont="1" applyFill="1" applyBorder="1" applyAlignment="1">
      <alignment wrapText="1"/>
    </xf>
    <xf numFmtId="1" fontId="6" fillId="2" borderId="11" xfId="0" applyNumberFormat="1" applyFont="1" applyFill="1" applyBorder="1" applyAlignment="1">
      <alignment wrapText="1"/>
    </xf>
    <xf numFmtId="1" fontId="6" fillId="2" borderId="12" xfId="0" applyNumberFormat="1" applyFont="1" applyFill="1" applyBorder="1" applyAlignment="1">
      <alignment wrapText="1"/>
    </xf>
    <xf numFmtId="1" fontId="6" fillId="2" borderId="13" xfId="0" applyNumberFormat="1" applyFont="1" applyFill="1" applyBorder="1" applyAlignment="1">
      <alignment wrapText="1"/>
    </xf>
    <xf numFmtId="0" fontId="6" fillId="0" borderId="3" xfId="0" applyFont="1" applyBorder="1" applyAlignment="1">
      <alignment wrapText="1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1" fontId="6" fillId="2" borderId="7" xfId="0" applyNumberFormat="1" applyFont="1" applyFill="1" applyBorder="1" applyAlignment="1">
      <alignment horizontal="right" wrapText="1"/>
    </xf>
    <xf numFmtId="0" fontId="6" fillId="0" borderId="3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3" fillId="0" borderId="0" xfId="0" applyFont="1" applyFill="1" applyBorder="1" applyAlignment="1">
      <alignment wrapText="1"/>
    </xf>
    <xf numFmtId="0" fontId="0" fillId="0" borderId="0" xfId="0" applyFill="1" applyBorder="1" applyAlignment="1">
      <alignment wrapText="1"/>
    </xf>
    <xf numFmtId="0" fontId="0" fillId="0" borderId="0" xfId="0" applyFill="1" applyAlignment="1">
      <alignment wrapText="1"/>
    </xf>
    <xf numFmtId="0" fontId="7" fillId="0" borderId="5" xfId="0" applyFont="1" applyBorder="1" applyAlignment="1">
      <alignment horizontal="center" wrapText="1"/>
    </xf>
    <xf numFmtId="0" fontId="7" fillId="0" borderId="20" xfId="0" applyFont="1" applyBorder="1" applyAlignment="1">
      <alignment horizontal="center"/>
    </xf>
    <xf numFmtId="0" fontId="7" fillId="0" borderId="21" xfId="0" applyFont="1" applyBorder="1" applyAlignment="1">
      <alignment horizontal="center"/>
    </xf>
    <xf numFmtId="49" fontId="0" fillId="0" borderId="0" xfId="0" applyNumberFormat="1" applyAlignment="1">
      <alignment vertical="center" wrapText="1"/>
    </xf>
    <xf numFmtId="0" fontId="3" fillId="4" borderId="1" xfId="0" applyFont="1" applyFill="1" applyBorder="1" applyAlignment="1">
      <alignment horizontal="left" wrapText="1"/>
    </xf>
    <xf numFmtId="49" fontId="0" fillId="0" borderId="0" xfId="0" applyNumberFormat="1" applyAlignment="1">
      <alignment wrapText="1"/>
    </xf>
  </cellXfs>
  <cellStyles count="2">
    <cellStyle name="Обычный" xfId="0" builtinId="0"/>
    <cellStyle name="Финансовый" xfId="1" builtinId="3"/>
  </cellStyles>
  <dxfs count="0"/>
  <tableStyles count="0" defaultTableStyle="TableStyleMedium9" defaultPivotStyle="PivotStyleLight16"/>
  <colors>
    <mruColors>
      <color rgb="FFFAFAB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19050</xdr:rowOff>
        </xdr:from>
        <xdr:to>
          <xdr:col>1</xdr:col>
          <xdr:colOff>2609850</xdr:colOff>
          <xdr:row>22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Обработчик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19</xdr:row>
          <xdr:rowOff>9525</xdr:rowOff>
        </xdr:from>
        <xdr:to>
          <xdr:col>0</xdr:col>
          <xdr:colOff>2524125</xdr:colOff>
          <xdr:row>22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Выберите папку с файлами филиала (составляется список содержащихся файлов)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H2"/>
  <sheetViews>
    <sheetView workbookViewId="0">
      <selection activeCell="B31" sqref="B31"/>
    </sheetView>
  </sheetViews>
  <sheetFormatPr defaultRowHeight="15" x14ac:dyDescent="0.25"/>
  <cols>
    <col min="1" max="1" width="24.7109375" style="35" customWidth="1"/>
    <col min="2" max="2" width="45.85546875" style="7" customWidth="1"/>
    <col min="3" max="4" width="15.5703125" style="7" customWidth="1"/>
    <col min="5" max="5" width="21.140625" style="7" customWidth="1"/>
    <col min="6" max="7" width="15.5703125" style="7" customWidth="1"/>
    <col min="8" max="8" width="62.140625" style="7" customWidth="1"/>
    <col min="9" max="16384" width="9.140625" style="7"/>
  </cols>
  <sheetData>
    <row r="1" spans="1:8" ht="75" x14ac:dyDescent="0.25">
      <c r="A1" s="10" t="s">
        <v>17</v>
      </c>
      <c r="B1" s="10" t="s">
        <v>16</v>
      </c>
      <c r="C1" s="10" t="s">
        <v>15</v>
      </c>
      <c r="D1" s="10" t="s">
        <v>14</v>
      </c>
      <c r="E1" s="10" t="s">
        <v>13</v>
      </c>
      <c r="F1" s="10" t="s">
        <v>12</v>
      </c>
      <c r="G1" s="10" t="s">
        <v>11</v>
      </c>
      <c r="H1" s="10" t="s">
        <v>10</v>
      </c>
    </row>
    <row r="2" spans="1:8" x14ac:dyDescent="0.25">
      <c r="A2" s="8">
        <f>Управление!F17</f>
        <v>0</v>
      </c>
      <c r="B2" s="8">
        <f>Управление!F16</f>
        <v>0</v>
      </c>
      <c r="C2" s="10">
        <f>Управление!F11/1000000</f>
        <v>0</v>
      </c>
      <c r="D2" s="10">
        <f>Управление!F6*IF(ISBLANK(Управление!F7),1,Управление!F7)*IF(ISBLANK(Управление!F8),1,Управление!F8)*IF(ISBLANK(Управление!F9),1,Управление!F9)*IF(ISBLANK(Управление!F10),1,Управление!F10)/1000000</f>
        <v>0</v>
      </c>
      <c r="E2" s="10">
        <f>(Управление!F12+Управление!F13)/1000000</f>
        <v>0</v>
      </c>
      <c r="F2" s="10">
        <f>Управление!F14/1000000</f>
        <v>0</v>
      </c>
      <c r="G2" s="10">
        <f>C2-D2-E2-F2</f>
        <v>0</v>
      </c>
      <c r="H2" s="8">
        <f>Управление!F15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5"/>
  <sheetViews>
    <sheetView workbookViewId="0">
      <selection activeCell="B9" sqref="B9"/>
    </sheetView>
  </sheetViews>
  <sheetFormatPr defaultRowHeight="15" x14ac:dyDescent="0.25"/>
  <cols>
    <col min="1" max="1" width="39.140625" style="35" customWidth="1"/>
    <col min="2" max="2" width="45.85546875" style="7" customWidth="1"/>
    <col min="3" max="4" width="15.5703125" style="7" customWidth="1"/>
    <col min="5" max="5" width="21.140625" style="7" customWidth="1"/>
    <col min="6" max="6" width="15.5703125" style="7" customWidth="1"/>
    <col min="7" max="7" width="31.42578125" style="7" customWidth="1"/>
    <col min="8" max="8" width="62.140625" style="7" customWidth="1"/>
    <col min="9" max="16384" width="9.140625" style="7"/>
  </cols>
  <sheetData>
    <row r="1" spans="1:8" ht="75" x14ac:dyDescent="0.25">
      <c r="A1" s="9" t="s">
        <v>17</v>
      </c>
      <c r="B1" s="10" t="s">
        <v>16</v>
      </c>
      <c r="C1" s="10" t="s">
        <v>15</v>
      </c>
      <c r="D1" s="10" t="s">
        <v>14</v>
      </c>
      <c r="E1" s="10" t="s">
        <v>13</v>
      </c>
      <c r="F1" s="10" t="s">
        <v>12</v>
      </c>
      <c r="G1" s="10" t="s">
        <v>11</v>
      </c>
      <c r="H1" s="10" t="s">
        <v>10</v>
      </c>
    </row>
    <row r="2" spans="1:8" ht="45" x14ac:dyDescent="0.25">
      <c r="A2" s="9" t="s">
        <v>9</v>
      </c>
      <c r="B2" s="8" t="s">
        <v>8</v>
      </c>
      <c r="C2" s="10">
        <v>0.88119030000000009</v>
      </c>
      <c r="D2" s="10">
        <v>9.6690600992879988E-2</v>
      </c>
      <c r="E2" s="10">
        <v>0.73277705000000004</v>
      </c>
      <c r="F2" s="10">
        <v>5.2519999999999997E-3</v>
      </c>
      <c r="G2" s="10">
        <v>4.6470649007120092E-2</v>
      </c>
      <c r="H2" s="8" t="s">
        <v>7</v>
      </c>
    </row>
    <row r="3" spans="1:8" ht="45" x14ac:dyDescent="0.25">
      <c r="A3" s="9" t="s">
        <v>49</v>
      </c>
      <c r="B3" s="8" t="s">
        <v>42</v>
      </c>
      <c r="C3" s="10">
        <v>86.916794590000009</v>
      </c>
      <c r="D3" s="10">
        <v>10.196564730185411</v>
      </c>
      <c r="E3" s="10">
        <v>73.322527379999997</v>
      </c>
      <c r="F3" s="10">
        <v>0</v>
      </c>
      <c r="G3" s="10">
        <v>3.3977024798145976</v>
      </c>
      <c r="H3" s="8" t="s">
        <v>41</v>
      </c>
    </row>
    <row r="4" spans="1:8" ht="60" x14ac:dyDescent="0.25">
      <c r="A4" s="9" t="s">
        <v>50</v>
      </c>
      <c r="B4" s="8" t="s">
        <v>48</v>
      </c>
      <c r="C4" s="10">
        <v>4.9237212800000005</v>
      </c>
      <c r="D4" s="10">
        <v>0.57723584377488002</v>
      </c>
      <c r="E4" s="10">
        <v>2.5921555199999999</v>
      </c>
      <c r="F4" s="10">
        <v>1.3963378</v>
      </c>
      <c r="G4" s="10">
        <v>0.3579921162251205</v>
      </c>
      <c r="H4" s="8" t="s">
        <v>47</v>
      </c>
    </row>
    <row r="5" spans="1:8" ht="60" x14ac:dyDescent="0.25">
      <c r="A5" s="9" t="s">
        <v>46</v>
      </c>
      <c r="B5" s="8" t="s">
        <v>48</v>
      </c>
      <c r="C5" s="10">
        <v>4.9237212800000005</v>
      </c>
      <c r="D5" s="10">
        <v>0.57723584377488002</v>
      </c>
      <c r="E5" s="10">
        <v>2.5921555199999999</v>
      </c>
      <c r="F5" s="10">
        <v>1.3963378</v>
      </c>
      <c r="G5" s="10">
        <v>0.3579921162251205</v>
      </c>
      <c r="H5" s="8" t="s">
        <v>47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G5"/>
  <sheetViews>
    <sheetView workbookViewId="0">
      <selection activeCell="A35" sqref="A35"/>
    </sheetView>
  </sheetViews>
  <sheetFormatPr defaultRowHeight="15" x14ac:dyDescent="0.25"/>
  <cols>
    <col min="1" max="1" width="97.140625" bestFit="1" customWidth="1"/>
    <col min="2" max="2" width="24" bestFit="1" customWidth="1"/>
    <col min="3" max="3" width="8.42578125" bestFit="1" customWidth="1"/>
    <col min="4" max="4" width="15.85546875" bestFit="1" customWidth="1"/>
    <col min="5" max="5" width="17.7109375" bestFit="1" customWidth="1"/>
    <col min="7" max="7" width="231.5703125" bestFit="1" customWidth="1"/>
  </cols>
  <sheetData>
    <row r="1" spans="1:7" ht="15.75" x14ac:dyDescent="0.25">
      <c r="A1" s="1" t="s">
        <v>1</v>
      </c>
      <c r="B1" s="1" t="s">
        <v>0</v>
      </c>
      <c r="C1" s="1" t="s">
        <v>2</v>
      </c>
      <c r="D1" s="1" t="s">
        <v>3</v>
      </c>
      <c r="E1" s="1" t="s">
        <v>4</v>
      </c>
    </row>
    <row r="2" spans="1:7" x14ac:dyDescent="0.25">
      <c r="A2" t="s">
        <v>19</v>
      </c>
      <c r="B2">
        <v>4914</v>
      </c>
      <c r="C2">
        <v>21817</v>
      </c>
      <c r="D2" s="2">
        <v>44581.724768518521</v>
      </c>
      <c r="E2" s="2">
        <v>44585.449490740742</v>
      </c>
      <c r="G2" t="s">
        <v>51</v>
      </c>
    </row>
    <row r="3" spans="1:7" x14ac:dyDescent="0.25">
      <c r="A3" t="s">
        <v>20</v>
      </c>
      <c r="B3">
        <v>7652</v>
      </c>
      <c r="C3">
        <v>22257</v>
      </c>
      <c r="D3" s="2">
        <v>44581.735983796294</v>
      </c>
      <c r="E3" s="2">
        <v>44585.680289351854</v>
      </c>
      <c r="G3" t="s">
        <v>52</v>
      </c>
    </row>
    <row r="4" spans="1:7" x14ac:dyDescent="0.25">
      <c r="A4" t="s">
        <v>44</v>
      </c>
      <c r="B4">
        <v>1111</v>
      </c>
      <c r="C4">
        <v>21137</v>
      </c>
      <c r="D4" s="2">
        <v>44586.438252314816</v>
      </c>
      <c r="E4" s="2">
        <v>44586.443391203706</v>
      </c>
      <c r="G4" t="s">
        <v>53</v>
      </c>
    </row>
    <row r="5" spans="1:7" x14ac:dyDescent="0.25">
      <c r="A5" t="s">
        <v>45</v>
      </c>
      <c r="B5" t="s">
        <v>46</v>
      </c>
      <c r="C5">
        <v>21672</v>
      </c>
      <c r="D5" s="2">
        <v>44586.444502314815</v>
      </c>
      <c r="E5" s="2">
        <v>44586.444502314815</v>
      </c>
      <c r="G5" t="s">
        <v>54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N26"/>
  <sheetViews>
    <sheetView tabSelected="1" workbookViewId="0">
      <selection activeCell="B31" sqref="B31"/>
    </sheetView>
  </sheetViews>
  <sheetFormatPr defaultRowHeight="15" x14ac:dyDescent="0.25"/>
  <cols>
    <col min="1" max="1" width="44.42578125" customWidth="1"/>
    <col min="2" max="2" width="39.7109375" customWidth="1"/>
    <col min="3" max="3" width="60.140625" customWidth="1"/>
    <col min="4" max="4" width="53.28515625" customWidth="1"/>
    <col min="5" max="5" width="44.7109375" customWidth="1"/>
    <col min="6" max="6" width="24.140625" customWidth="1"/>
    <col min="14" max="14" width="14.5703125" bestFit="1" customWidth="1"/>
  </cols>
  <sheetData>
    <row r="1" spans="1:6" ht="16.5" thickBot="1" x14ac:dyDescent="0.3">
      <c r="A1" s="3" t="s">
        <v>6</v>
      </c>
      <c r="B1" s="4" t="s">
        <v>5</v>
      </c>
      <c r="C1" s="29"/>
    </row>
    <row r="2" spans="1:6" ht="16.5" thickBot="1" x14ac:dyDescent="0.3">
      <c r="A2" s="4" t="s">
        <v>38</v>
      </c>
      <c r="B2" s="12" t="s">
        <v>18</v>
      </c>
      <c r="C2" s="30"/>
    </row>
    <row r="3" spans="1:6" ht="13.5" customHeight="1" thickBot="1" x14ac:dyDescent="0.3">
      <c r="A3" s="4" t="s">
        <v>39</v>
      </c>
      <c r="B3" s="12" t="s">
        <v>40</v>
      </c>
      <c r="C3" s="31"/>
    </row>
    <row r="4" spans="1:6" ht="24" thickBot="1" x14ac:dyDescent="0.4">
      <c r="A4" s="32" t="s">
        <v>31</v>
      </c>
      <c r="B4" s="33"/>
      <c r="C4" s="33"/>
      <c r="D4" s="34"/>
    </row>
    <row r="5" spans="1:6" ht="98.25" customHeight="1" thickBot="1" x14ac:dyDescent="0.3">
      <c r="A5" s="3" t="s">
        <v>32</v>
      </c>
      <c r="B5" s="5" t="s">
        <v>29</v>
      </c>
      <c r="C5" s="36" t="s">
        <v>36</v>
      </c>
      <c r="D5" s="36" t="s">
        <v>25</v>
      </c>
      <c r="E5" s="20" t="s">
        <v>33</v>
      </c>
      <c r="F5" s="25" t="s">
        <v>30</v>
      </c>
    </row>
    <row r="6" spans="1:6" ht="16.5" thickBot="1" x14ac:dyDescent="0.3">
      <c r="A6" s="5" t="s">
        <v>14</v>
      </c>
      <c r="B6" s="11" t="s">
        <v>27</v>
      </c>
      <c r="C6" s="13">
        <v>0</v>
      </c>
      <c r="D6" s="16">
        <v>5</v>
      </c>
      <c r="E6" s="21" t="s">
        <v>34</v>
      </c>
      <c r="F6" s="26"/>
    </row>
    <row r="7" spans="1:6" ht="16.5" thickBot="1" x14ac:dyDescent="0.3">
      <c r="A7" s="5" t="s">
        <v>14</v>
      </c>
      <c r="B7" s="11" t="s">
        <v>21</v>
      </c>
      <c r="C7" s="24" t="s">
        <v>37</v>
      </c>
      <c r="D7" s="17">
        <v>2</v>
      </c>
      <c r="E7" s="22" t="s">
        <v>35</v>
      </c>
      <c r="F7" s="27"/>
    </row>
    <row r="8" spans="1:6" ht="16.5" thickBot="1" x14ac:dyDescent="0.3">
      <c r="A8" s="5" t="s">
        <v>14</v>
      </c>
      <c r="B8" s="11" t="s">
        <v>22</v>
      </c>
      <c r="C8" s="24" t="s">
        <v>37</v>
      </c>
      <c r="D8" s="17">
        <v>2</v>
      </c>
      <c r="E8" s="22" t="s">
        <v>35</v>
      </c>
      <c r="F8" s="27"/>
    </row>
    <row r="9" spans="1:6" ht="32.25" thickBot="1" x14ac:dyDescent="0.3">
      <c r="A9" s="5" t="s">
        <v>14</v>
      </c>
      <c r="B9" s="11" t="s">
        <v>43</v>
      </c>
      <c r="C9" s="24" t="s">
        <v>37</v>
      </c>
      <c r="D9" s="17">
        <v>2</v>
      </c>
      <c r="E9" s="22" t="s">
        <v>35</v>
      </c>
      <c r="F9" s="27"/>
    </row>
    <row r="10" spans="1:6" ht="16.5" thickBot="1" x14ac:dyDescent="0.3">
      <c r="A10" s="5" t="s">
        <v>14</v>
      </c>
      <c r="B10" s="11" t="s">
        <v>23</v>
      </c>
      <c r="C10" s="24" t="s">
        <v>37</v>
      </c>
      <c r="D10" s="17">
        <v>2</v>
      </c>
      <c r="E10" s="22" t="s">
        <v>35</v>
      </c>
      <c r="F10" s="27"/>
    </row>
    <row r="11" spans="1:6" ht="16.5" thickBot="1" x14ac:dyDescent="0.3">
      <c r="A11" s="5" t="s">
        <v>15</v>
      </c>
      <c r="B11" s="11" t="s">
        <v>28</v>
      </c>
      <c r="C11" s="14">
        <v>0</v>
      </c>
      <c r="D11" s="18">
        <v>5</v>
      </c>
      <c r="E11" s="22" t="s">
        <v>34</v>
      </c>
      <c r="F11" s="27"/>
    </row>
    <row r="12" spans="1:6" ht="32.25" thickBot="1" x14ac:dyDescent="0.3">
      <c r="A12" s="5" t="s">
        <v>13</v>
      </c>
      <c r="B12" s="11" t="s">
        <v>28</v>
      </c>
      <c r="C12" s="14">
        <v>0</v>
      </c>
      <c r="D12" s="18">
        <v>1</v>
      </c>
      <c r="E12" s="22" t="s">
        <v>34</v>
      </c>
      <c r="F12" s="27"/>
    </row>
    <row r="13" spans="1:6" ht="32.25" thickBot="1" x14ac:dyDescent="0.3">
      <c r="A13" s="5" t="s">
        <v>13</v>
      </c>
      <c r="B13" s="11" t="s">
        <v>28</v>
      </c>
      <c r="C13" s="14">
        <v>0</v>
      </c>
      <c r="D13" s="18">
        <v>2</v>
      </c>
      <c r="E13" s="22" t="s">
        <v>34</v>
      </c>
      <c r="F13" s="27"/>
    </row>
    <row r="14" spans="1:6" ht="16.5" thickBot="1" x14ac:dyDescent="0.3">
      <c r="A14" s="5" t="s">
        <v>12</v>
      </c>
      <c r="B14" s="11" t="s">
        <v>28</v>
      </c>
      <c r="C14" s="14">
        <v>0</v>
      </c>
      <c r="D14" s="18">
        <v>3</v>
      </c>
      <c r="E14" s="22" t="s">
        <v>34</v>
      </c>
      <c r="F14" s="27"/>
    </row>
    <row r="15" spans="1:6" ht="16.5" thickBot="1" x14ac:dyDescent="0.3">
      <c r="A15" s="5" t="s">
        <v>10</v>
      </c>
      <c r="B15" s="11" t="s">
        <v>26</v>
      </c>
      <c r="C15" s="14">
        <v>-2</v>
      </c>
      <c r="D15" s="18">
        <v>-1</v>
      </c>
      <c r="E15" s="22" t="s">
        <v>34</v>
      </c>
      <c r="F15" s="27"/>
    </row>
    <row r="16" spans="1:6" ht="16.5" thickBot="1" x14ac:dyDescent="0.3">
      <c r="A16" s="5" t="s">
        <v>16</v>
      </c>
      <c r="B16" s="11" t="s">
        <v>24</v>
      </c>
      <c r="C16" s="15">
        <v>-1</v>
      </c>
      <c r="D16" s="19">
        <v>0</v>
      </c>
      <c r="E16" s="23" t="s">
        <v>34</v>
      </c>
      <c r="F16" s="28"/>
    </row>
    <row r="17" spans="1:14" ht="24" thickBot="1" x14ac:dyDescent="0.4">
      <c r="A17" s="32" t="s">
        <v>31</v>
      </c>
      <c r="B17" s="33"/>
      <c r="C17" s="33"/>
      <c r="D17" s="34"/>
      <c r="N17" s="6"/>
    </row>
    <row r="19" spans="1:14" x14ac:dyDescent="0.25">
      <c r="C19" s="37" t="s">
        <v>55</v>
      </c>
      <c r="D19" s="37"/>
      <c r="E19" s="37"/>
      <c r="F19" s="37"/>
    </row>
    <row r="20" spans="1:14" x14ac:dyDescent="0.25">
      <c r="C20" s="37"/>
      <c r="D20" s="37"/>
      <c r="E20" s="37"/>
      <c r="F20" s="37"/>
    </row>
    <row r="21" spans="1:14" x14ac:dyDescent="0.25">
      <c r="C21" s="37"/>
      <c r="D21" s="37"/>
      <c r="E21" s="37"/>
      <c r="F21" s="37"/>
    </row>
    <row r="22" spans="1:14" x14ac:dyDescent="0.25">
      <c r="C22" s="37"/>
      <c r="D22" s="37"/>
      <c r="E22" s="37"/>
      <c r="F22" s="37"/>
    </row>
    <row r="23" spans="1:14" x14ac:dyDescent="0.25">
      <c r="C23" s="37"/>
      <c r="D23" s="37"/>
      <c r="E23" s="37"/>
      <c r="F23" s="37"/>
    </row>
    <row r="24" spans="1:14" ht="31.5" customHeight="1" x14ac:dyDescent="0.25">
      <c r="C24" s="37"/>
      <c r="D24" s="37"/>
      <c r="E24" s="37"/>
      <c r="F24" s="37"/>
    </row>
    <row r="25" spans="1:14" ht="20.25" customHeight="1" x14ac:dyDescent="0.25">
      <c r="C25" s="37"/>
      <c r="D25" s="37"/>
      <c r="E25" s="37"/>
      <c r="F25" s="37"/>
    </row>
    <row r="26" spans="1:14" ht="64.5" customHeight="1" x14ac:dyDescent="0.25">
      <c r="C26" s="37"/>
      <c r="D26" s="37"/>
      <c r="E26" s="37"/>
      <c r="F26" s="37"/>
    </row>
  </sheetData>
  <mergeCells count="3">
    <mergeCell ref="A4:D4"/>
    <mergeCell ref="A17:D17"/>
    <mergeCell ref="C19:F2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Ex">
                <anchor moveWithCells="1" sizeWithCells="1">
                  <from>
                    <xdr:col>1</xdr:col>
                    <xdr:colOff>0</xdr:colOff>
                    <xdr:row>19</xdr:row>
                    <xdr:rowOff>19050</xdr:rowOff>
                  </from>
                  <to>
                    <xdr:col>1</xdr:col>
                    <xdr:colOff>2609850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xuz">
                <anchor moveWithCells="1" sizeWithCells="1">
                  <from>
                    <xdr:col>0</xdr:col>
                    <xdr:colOff>85725</xdr:colOff>
                    <xdr:row>19</xdr:row>
                    <xdr:rowOff>9525</xdr:rowOff>
                  </from>
                  <to>
                    <xdr:col>0</xdr:col>
                    <xdr:colOff>2524125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Шабон Формульный</vt:lpstr>
      <vt:lpstr>Результат</vt:lpstr>
      <vt:lpstr>Список_файлов_данных</vt:lpstr>
      <vt:lpstr>Управление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Карачанцева</dc:creator>
  <cp:lastModifiedBy>Абызов Дмитрий Генадьевич</cp:lastModifiedBy>
  <dcterms:created xsi:type="dcterms:W3CDTF">2018-05-22T07:26:09Z</dcterms:created>
  <dcterms:modified xsi:type="dcterms:W3CDTF">2022-01-25T14:12:27Z</dcterms:modified>
</cp:coreProperties>
</file>